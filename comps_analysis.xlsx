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sz val="9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color rgb="001F4E79"/>
      <sz val="11"/>
    </font>
    <font>
      <name val="Calibri"/>
      <color rgb="00000000"/>
      <sz val="11"/>
    </font>
    <font>
      <name val="Calibri"/>
      <i val="1"/>
      <sz val="11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7" fillId="4" borderId="0" applyAlignment="1" pivotButton="0" quotePrefix="0" xfId="0">
      <alignment horizontal="center" vertical="center"/>
    </xf>
    <xf numFmtId="2" fontId="7" fillId="4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7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Comps Analysis</author>
  </authors>
  <commentList>
    <comment ref="B7" authorId="0" shapeId="0">
      <text>
        <t>Fonte: SQLite valuation.db, tabela linhas_financeiras ('Total Revenue', período 2025-09-30). Extraído via yfinance em data_fetch.py (03/07/2026).</t>
      </text>
    </comment>
    <comment ref="C7" authorId="0" shapeId="0">
      <text>
        <t>Receita do período anterior, mesma fonte (para calcular YoY).</t>
      </text>
    </comment>
    <comment ref="E7" authorId="0" shapeId="0">
      <text>
        <t>Fonte: linhas_financeiras, item 'Gross Profit'.</t>
      </text>
    </comment>
    <comment ref="G7" authorId="0" shapeId="0">
      <text>
        <t>Fonte: linhas_financeiras, item 'EBITDA' (como reportado pelo yfinance).</t>
      </text>
    </comment>
    <comment ref="I7" authorId="0" shapeId="0">
      <text>
        <t>Fonte: linhas_financeiras (cashflow), item 'Free Cash Flow' (definição yfinance: Fluxo de Caixa Operacional - CapEx).</t>
      </text>
    </comment>
    <comment ref="K7" authorId="0" shapeId="0">
      <text>
        <t>Fonte: yfinance .info['beta'] (regressão histórica vs. mercado, sem ajuste de Blume — mesma premissa usada no DCF).</t>
      </text>
    </comment>
    <comment ref="B8" authorId="0" shapeId="0">
      <text>
        <t>Fonte: SQLite valuation.db, tabela linhas_financeiras ('Total Revenue', período 2025-06-30). Extraído via yfinance em data_fetch.py (03/07/2026).</t>
      </text>
    </comment>
    <comment ref="C8" authorId="0" shapeId="0">
      <text>
        <t>Receita do período anterior, mesma fonte (para calcular YoY).</t>
      </text>
    </comment>
    <comment ref="E8" authorId="0" shapeId="0">
      <text>
        <t>Fonte: linhas_financeiras, item 'Gross Profit'.</t>
      </text>
    </comment>
    <comment ref="G8" authorId="0" shapeId="0">
      <text>
        <t>Fonte: linhas_financeiras, item 'EBITDA' (como reportado pelo yfinance).</t>
      </text>
    </comment>
    <comment ref="I8" authorId="0" shapeId="0">
      <text>
        <t>Fonte: linhas_financeiras (cashflow), item 'Free Cash Flow' (definição yfinance: Fluxo de Caixa Operacional - CapEx).</t>
      </text>
    </comment>
    <comment ref="K8" authorId="0" shapeId="0">
      <text>
        <t>Fonte: yfinance .info['beta'] (regressão histórica vs. mercado, sem ajuste de Blume — mesma premissa usada no DCF).</t>
      </text>
    </comment>
    <comment ref="B9" authorId="0" shapeId="0">
      <text>
        <t>Fonte: SQLite valuation.db, tabela linhas_financeiras ('Total Revenue', período 2025-12-31). Extraído via yfinance em data_fetch.py (03/07/2026).</t>
      </text>
    </comment>
    <comment ref="C9" authorId="0" shapeId="0">
      <text>
        <t>Receita do período anterior, mesma fonte (para calcular YoY).</t>
      </text>
    </comment>
    <comment ref="E9" authorId="0" shapeId="0">
      <text>
        <t>Fonte: linhas_financeiras, item 'Gross Profit'.</t>
      </text>
    </comment>
    <comment ref="G9" authorId="0" shapeId="0">
      <text>
        <t>Fonte: linhas_financeiras, item 'EBITDA' (como reportado pelo yfinance).</t>
      </text>
    </comment>
    <comment ref="I9" authorId="0" shapeId="0">
      <text>
        <t>Fonte: linhas_financeiras (cashflow), item 'Free Cash Flow' (definição yfinance: Fluxo de Caixa Operacional - CapEx).</t>
      </text>
    </comment>
    <comment ref="K9" authorId="0" shapeId="0">
      <text>
        <t>Fonte: yfinance .info['beta'] (regressão histórica vs. mercado, sem ajuste de Blume — mesma premissa usada no DCF).</t>
      </text>
    </comment>
    <comment ref="B10" authorId="0" shapeId="0">
      <text>
        <t>Fonte: SQLite valuation.db, tabela linhas_financeiras ('Total Revenue', período 2026-01-31). Extraído via yfinance em data_fetch.py (03/07/2026).</t>
      </text>
    </comment>
    <comment ref="C10" authorId="0" shapeId="0">
      <text>
        <t>Receita do período anterior, mesma fonte (para calcular YoY).</t>
      </text>
    </comment>
    <comment ref="E10" authorId="0" shapeId="0">
      <text>
        <t>Fonte: linhas_financeiras, item 'Gross Profit'.</t>
      </text>
    </comment>
    <comment ref="G10" authorId="0" shapeId="0">
      <text>
        <t>Fonte: linhas_financeiras, item 'EBITDA' (como reportado pelo yfinance).</t>
      </text>
    </comment>
    <comment ref="I10" authorId="0" shapeId="0">
      <text>
        <t>Fonte: linhas_financeiras (cashflow), item 'Free Cash Flow' (definição yfinance: Fluxo de Caixa Operacional - CapEx).</t>
      </text>
    </comment>
    <comment ref="K10" authorId="0" shapeId="0">
      <text>
        <t>Fonte: yfinance .info['beta'] (regressão histórica vs. mercado, sem ajuste de Blume — mesma premissa usada no DCF).</t>
      </text>
    </comment>
    <comment ref="B11" authorId="0" shapeId="0">
      <text>
        <t>Fonte: SQLite valuation.db, tabela linhas_financeiras ('Total Revenue', período 2025-12-31). Extraído via yfinance em data_fetch.py (03/07/2026).</t>
      </text>
    </comment>
    <comment ref="C11" authorId="0" shapeId="0">
      <text>
        <t>Receita do período anterior, mesma fonte (para calcular YoY).</t>
      </text>
    </comment>
    <comment ref="E11" authorId="0" shapeId="0">
      <text>
        <t>Fonte: linhas_financeiras, item 'Gross Profit'.</t>
      </text>
    </comment>
    <comment ref="G11" authorId="0" shapeId="0">
      <text>
        <t>Fonte: linhas_financeiras, item 'EBITDA' (como reportado pelo yfinance).</t>
      </text>
    </comment>
    <comment ref="I11" authorId="0" shapeId="0">
      <text>
        <t>Fonte: linhas_financeiras (cashflow), item 'Free Cash Flow' (definição yfinance: Fluxo de Caixa Operacional - CapEx).</t>
      </text>
    </comment>
    <comment ref="K11" authorId="0" shapeId="0">
      <text>
        <t>Fonte: yfinance .info['beta'] (regressão histórica vs. mercado, sem ajuste de Blume — mesma premissa usada no DCF).</t>
      </text>
    </comment>
    <comment ref="B12" authorId="0" shapeId="0">
      <text>
        <t>Fonte: SQLite valuation.db, tabela linhas_financeiras ('Total Revenue', período 2025-12-31). Extraído via yfinance em data_fetch.py (03/07/2026).</t>
      </text>
    </comment>
    <comment ref="C12" authorId="0" shapeId="0">
      <text>
        <t>Receita do período anterior, mesma fonte (para calcular YoY).</t>
      </text>
    </comment>
    <comment ref="E12" authorId="0" shapeId="0">
      <text>
        <t>Fonte: linhas_financeiras, item 'Gross Profit'.</t>
      </text>
    </comment>
    <comment ref="G12" authorId="0" shapeId="0">
      <text>
        <t>Fonte: linhas_financeiras, item 'EBITDA' (como reportado pelo yfinance).</t>
      </text>
    </comment>
    <comment ref="I12" authorId="0" shapeId="0">
      <text>
        <t>Fonte: linhas_financeiras (cashflow), item 'Free Cash Flow' (definição yfinance: Fluxo de Caixa Operacional - CapEx).</t>
      </text>
    </comment>
    <comment ref="K12" authorId="0" shapeId="0">
      <text>
        <t>Fonte: yfinance .info['beta'] (regressão histórica vs. mercado, sem ajuste de Blume — mesma premissa usada no DCF).</t>
      </text>
    </comment>
    <comment ref="B23" authorId="0" shapeId="0">
      <text>
        <t>Fonte: tabela empresas, campo market_cap (yfinance .info['marketCap'], já soma todas as classes de ação quando aplicável, ex: GOOGL+GOOG).</t>
      </text>
    </comment>
    <comment ref="C23" authorId="0" shapeId="0">
      <text>
        <t>Fonte: balance_sheet, item 'Net Debt'.</t>
      </text>
    </comment>
    <comment ref="G23" authorId="0" shapeId="0">
      <text>
        <t>Fonte: linhas_financeiras, item 'Net Income'.</t>
      </text>
    </comment>
    <comment ref="B24" authorId="0" shapeId="0">
      <text>
        <t>Fonte: tabela empresas, campo market_cap (yfinance .info['marketCap'], já soma todas as classes de ação quando aplicável, ex: GOOGL+GOOG).</t>
      </text>
    </comment>
    <comment ref="C24" authorId="0" shapeId="0">
      <text>
        <t>Fonte: balance_sheet, item 'Net Debt'.</t>
      </text>
    </comment>
    <comment ref="G24" authorId="0" shapeId="0">
      <text>
        <t>Fonte: linhas_financeiras, item 'Net Income'.</t>
      </text>
    </comment>
    <comment ref="B25" authorId="0" shapeId="0">
      <text>
        <t>Fonte: tabela empresas, campo market_cap (yfinance .info['marketCap'], já soma todas as classes de ação quando aplicável, ex: GOOGL+GOOG).</t>
      </text>
    </comment>
    <comment ref="C25" authorId="0" shapeId="0">
      <text>
        <t>Fonte: balance_sheet, item 'Net Debt'.</t>
      </text>
    </comment>
    <comment ref="G25" authorId="0" shapeId="0">
      <text>
        <t>Fonte: linhas_financeiras, item 'Net Income'.</t>
      </text>
    </comment>
    <comment ref="B26" authorId="0" shapeId="0">
      <text>
        <t>Fonte: tabela empresas, campo market_cap (yfinance .info['marketCap'], já soma todas as classes de ação quando aplicável, ex: GOOGL+GOOG).</t>
      </text>
    </comment>
    <comment ref="C26" authorId="0" shapeId="0">
      <text>
        <t>Fonte: balance_sheet, item 'Net Debt'.</t>
      </text>
    </comment>
    <comment ref="G26" authorId="0" shapeId="0">
      <text>
        <t>Fonte: linhas_financeiras, item 'Net Income'.</t>
      </text>
    </comment>
    <comment ref="B27" authorId="0" shapeId="0">
      <text>
        <t>Fonte: tabela empresas, campo market_cap (yfinance .info['marketCap'], já soma todas as classes de ação quando aplicável, ex: GOOGL+GOOG).</t>
      </text>
    </comment>
    <comment ref="C27" authorId="0" shapeId="0">
      <text>
        <t>Fonte: balance_sheet, item 'Net Debt'.</t>
      </text>
    </comment>
    <comment ref="G27" authorId="0" shapeId="0">
      <text>
        <t>Fonte: linhas_financeiras, item 'Net Income'.</t>
      </text>
    </comment>
    <comment ref="B28" authorId="0" shapeId="0">
      <text>
        <t>Fonte: tabela empresas, campo market_cap (yfinance .info['marketCap'], já soma todas as classes de ação quando aplicável, ex: GOOGL+GOOG).</t>
      </text>
    </comment>
    <comment ref="C28" authorId="0" shapeId="0">
      <text>
        <t>TSM não tem a linha 'Net Debt' pronta no yfinance — calculado manualmente como Total Debt - Caixa (TSM tem posição de caixa líquida, por isso o valor é negativo).</t>
      </text>
    </comment>
    <comment ref="G28" authorId="0" shapeId="0">
      <text>
        <t>Fonte: linhas_financeiras, item 'Net Income'.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4" customWidth="1" min="4" max="4"/>
    <col width="14" customWidth="1" min="5" max="5"/>
    <col width="13" customWidth="1" min="6" max="6"/>
    <col width="14" customWidth="1" min="7" max="7"/>
    <col width="13" customWidth="1" min="8" max="8"/>
    <col width="14" customWidth="1" min="9" max="9"/>
    <col width="12" customWidth="1" min="10" max="10"/>
    <col width="9" customWidth="1" min="11" max="11"/>
  </cols>
  <sheetData>
    <row r="1">
      <c r="A1" s="1" t="inlineStr">
        <is>
          <t>BIG TECH &amp; SEMICONDUTORES — COMPARABLE COMPANY ANALYSIS</t>
        </is>
      </c>
    </row>
    <row r="2">
      <c r="A2" s="2" t="inlineStr">
        <is>
          <t>Apple Inc. (AAPL) • Microsoft Corporation (MSFT) • Amazon.com, Inc. (AMZN) • NVIDIA Corporation (NVDA) • Alphabet Inc. (GOOGL) • Taiwan Semiconductor Manufacturing Company Limited (TSM)</t>
        </is>
      </c>
    </row>
    <row r="3">
      <c r="A3" s="3" t="inlineStr">
        <is>
          <t>As of 03/07/2026 | Valores em USD (milhões), exceto múltiplos e beta | Fonte: pipeline próprio (data_fetch.py / SQLite)</t>
        </is>
      </c>
    </row>
    <row r="5">
      <c r="A5" s="4" t="inlineStr">
        <is>
          <t>OPERATING STATISTICS &amp; FINANCIAL METRICS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6" t="inlineStr">
        <is>
          <t>Company</t>
        </is>
      </c>
      <c r="B6" s="6" t="inlineStr">
        <is>
          <t>Revenue (atual)</t>
        </is>
      </c>
      <c r="C6" s="6" t="inlineStr">
        <is>
          <t>Revenue (ano ant.)</t>
        </is>
      </c>
      <c r="D6" s="6" t="inlineStr">
        <is>
          <t>Revenue Growth YoY</t>
        </is>
      </c>
      <c r="E6" s="6" t="inlineStr">
        <is>
          <t>Gross Profit</t>
        </is>
      </c>
      <c r="F6" s="6" t="inlineStr">
        <is>
          <t>Gross Margin</t>
        </is>
      </c>
      <c r="G6" s="6" t="inlineStr">
        <is>
          <t>EBITDA</t>
        </is>
      </c>
      <c r="H6" s="6" t="inlineStr">
        <is>
          <t>EBITDA Margin</t>
        </is>
      </c>
      <c r="I6" s="6" t="inlineStr">
        <is>
          <t>Free Cash Flow</t>
        </is>
      </c>
      <c r="J6" s="6" t="inlineStr">
        <is>
          <t>FCF Margin</t>
        </is>
      </c>
      <c r="K6" s="6" t="inlineStr">
        <is>
          <t>Beta</t>
        </is>
      </c>
    </row>
    <row r="7">
      <c r="A7" s="2" t="inlineStr">
        <is>
          <t>Apple Inc. (AAPL)</t>
        </is>
      </c>
      <c r="B7" s="7" t="n">
        <v>416161</v>
      </c>
      <c r="C7" s="7" t="n">
        <v>391035</v>
      </c>
      <c r="D7" s="8">
        <f>(B7-C7)/C7</f>
        <v/>
      </c>
      <c r="E7" s="7" t="n">
        <v>195201</v>
      </c>
      <c r="F7" s="8">
        <f>E7/B7</f>
        <v/>
      </c>
      <c r="G7" s="7" t="n">
        <v>144748</v>
      </c>
      <c r="H7" s="8">
        <f>G7/B7</f>
        <v/>
      </c>
      <c r="I7" s="7" t="n">
        <v>98767</v>
      </c>
      <c r="J7" s="8">
        <f>I7/B7</f>
        <v/>
      </c>
      <c r="K7" s="7" t="n">
        <v>1.086</v>
      </c>
    </row>
    <row r="8">
      <c r="A8" s="2" t="inlineStr">
        <is>
          <t>Microsoft Corporation (MSFT)</t>
        </is>
      </c>
      <c r="B8" s="7" t="n">
        <v>281724</v>
      </c>
      <c r="C8" s="7" t="n">
        <v>245122</v>
      </c>
      <c r="D8" s="8">
        <f>(B8-C8)/C8</f>
        <v/>
      </c>
      <c r="E8" s="7" t="n">
        <v>193893</v>
      </c>
      <c r="F8" s="8">
        <f>E8/B8</f>
        <v/>
      </c>
      <c r="G8" s="7" t="n">
        <v>160165</v>
      </c>
      <c r="H8" s="8">
        <f>G8/B8</f>
        <v/>
      </c>
      <c r="I8" s="7" t="n">
        <v>71611</v>
      </c>
      <c r="J8" s="8">
        <f>I8/B8</f>
        <v/>
      </c>
      <c r="K8" s="7" t="n">
        <v>1.103</v>
      </c>
    </row>
    <row r="9">
      <c r="A9" s="2" t="inlineStr">
        <is>
          <t>Amazon.com, Inc. (AMZN)</t>
        </is>
      </c>
      <c r="B9" s="7" t="n">
        <v>716924</v>
      </c>
      <c r="C9" s="7" t="n">
        <v>637959</v>
      </c>
      <c r="D9" s="8">
        <f>(B9-C9)/C9</f>
        <v/>
      </c>
      <c r="E9" s="7" t="n">
        <v>360510</v>
      </c>
      <c r="F9" s="8">
        <f>E9/B9</f>
        <v/>
      </c>
      <c r="G9" s="7" t="n">
        <v>165341</v>
      </c>
      <c r="H9" s="8">
        <f>G9/B9</f>
        <v/>
      </c>
      <c r="I9" s="7" t="n">
        <v>7695</v>
      </c>
      <c r="J9" s="8">
        <f>I9/B9</f>
        <v/>
      </c>
      <c r="K9" s="7" t="n">
        <v>1.444</v>
      </c>
    </row>
    <row r="10">
      <c r="A10" s="2" t="inlineStr">
        <is>
          <t>NVIDIA Corporation (NVDA)</t>
        </is>
      </c>
      <c r="B10" s="7" t="n">
        <v>215938</v>
      </c>
      <c r="C10" s="7" t="n">
        <v>130497</v>
      </c>
      <c r="D10" s="8">
        <f>(B10-C10)/C10</f>
        <v/>
      </c>
      <c r="E10" s="7" t="n">
        <v>153463</v>
      </c>
      <c r="F10" s="8">
        <f>E10/B10</f>
        <v/>
      </c>
      <c r="G10" s="7" t="n">
        <v>144552</v>
      </c>
      <c r="H10" s="8">
        <f>G10/B10</f>
        <v/>
      </c>
      <c r="I10" s="7" t="n">
        <v>96676</v>
      </c>
      <c r="J10" s="8">
        <f>I10/B10</f>
        <v/>
      </c>
      <c r="K10" s="7" t="n">
        <v>2.202</v>
      </c>
    </row>
    <row r="11">
      <c r="A11" s="2" t="inlineStr">
        <is>
          <t>Alphabet Inc. (GOOGL)</t>
        </is>
      </c>
      <c r="B11" s="7" t="n">
        <v>402836</v>
      </c>
      <c r="C11" s="7" t="n">
        <v>350018</v>
      </c>
      <c r="D11" s="8">
        <f>(B11-C11)/C11</f>
        <v/>
      </c>
      <c r="E11" s="7" t="n">
        <v>240301</v>
      </c>
      <c r="F11" s="8">
        <f>E11/B11</f>
        <v/>
      </c>
      <c r="G11" s="7" t="n">
        <v>180698</v>
      </c>
      <c r="H11" s="8">
        <f>G11/B11</f>
        <v/>
      </c>
      <c r="I11" s="7" t="n">
        <v>73266</v>
      </c>
      <c r="J11" s="8">
        <f>I11/B11</f>
        <v/>
      </c>
      <c r="K11" s="7" t="n">
        <v>1.237</v>
      </c>
    </row>
    <row r="12">
      <c r="A12" s="2" t="inlineStr">
        <is>
          <t>Taiwan Semiconductor Manufacturing Company Limited (TSM)</t>
        </is>
      </c>
      <c r="B12" s="7" t="n">
        <v>119252.8</v>
      </c>
      <c r="C12" s="7" t="n">
        <v>90614.2</v>
      </c>
      <c r="D12" s="8">
        <f>(B12-C12)/C12</f>
        <v/>
      </c>
      <c r="E12" s="7" t="n">
        <v>71422.10000000001</v>
      </c>
      <c r="F12" s="8">
        <f>E12/B12</f>
        <v/>
      </c>
      <c r="G12" s="7" t="n">
        <v>85849.60000000001</v>
      </c>
      <c r="H12" s="8">
        <f>G12/B12</f>
        <v/>
      </c>
      <c r="I12" s="7" t="n">
        <v>31069.1</v>
      </c>
      <c r="J12" s="8">
        <f>I12/B12</f>
        <v/>
      </c>
      <c r="K12" s="7" t="n">
        <v>1.25</v>
      </c>
    </row>
    <row r="14">
      <c r="A14" s="9" t="inlineStr">
        <is>
          <t>Maximum</t>
        </is>
      </c>
      <c r="D14" s="10">
        <f>MAX(D7:D12)</f>
        <v/>
      </c>
      <c r="F14" s="10">
        <f>MAX(F7:F12)</f>
        <v/>
      </c>
      <c r="H14" s="10">
        <f>MAX(H7:H12)</f>
        <v/>
      </c>
      <c r="J14" s="10">
        <f>MAX(J7:J12)</f>
        <v/>
      </c>
      <c r="K14" s="11">
        <f>MAX(K7:K12)</f>
        <v/>
      </c>
    </row>
    <row r="15">
      <c r="A15" s="9" t="inlineStr">
        <is>
          <t>75th Percentile</t>
        </is>
      </c>
      <c r="D15" s="10">
        <f>QUARTILE(D7:D12,3)</f>
        <v/>
      </c>
      <c r="F15" s="10">
        <f>QUARTILE(F7:F12,3)</f>
        <v/>
      </c>
      <c r="H15" s="10">
        <f>QUARTILE(H7:H12,3)</f>
        <v/>
      </c>
      <c r="J15" s="10">
        <f>QUARTILE(J7:J12,3)</f>
        <v/>
      </c>
      <c r="K15" s="11">
        <f>QUARTILE(K7:K12,3)</f>
        <v/>
      </c>
    </row>
    <row r="16">
      <c r="A16" s="9" t="inlineStr">
        <is>
          <t>Median</t>
        </is>
      </c>
      <c r="D16" s="10">
        <f>MEDIAN(D7:D12)</f>
        <v/>
      </c>
      <c r="F16" s="10">
        <f>MEDIAN(F7:F12)</f>
        <v/>
      </c>
      <c r="H16" s="10">
        <f>MEDIAN(H7:H12)</f>
        <v/>
      </c>
      <c r="J16" s="10">
        <f>MEDIAN(J7:J12)</f>
        <v/>
      </c>
      <c r="K16" s="11">
        <f>MEDIAN(K7:K12)</f>
        <v/>
      </c>
    </row>
    <row r="17">
      <c r="A17" s="9" t="inlineStr">
        <is>
          <t>25th Percentile</t>
        </is>
      </c>
      <c r="D17" s="10">
        <f>QUARTILE(D7:D12,1)</f>
        <v/>
      </c>
      <c r="F17" s="10">
        <f>QUARTILE(F7:F12,1)</f>
        <v/>
      </c>
      <c r="H17" s="10">
        <f>QUARTILE(H7:H12,1)</f>
        <v/>
      </c>
      <c r="J17" s="10">
        <f>QUARTILE(J7:J12,1)</f>
        <v/>
      </c>
      <c r="K17" s="11">
        <f>QUARTILE(K7:K12,1)</f>
        <v/>
      </c>
    </row>
    <row r="18">
      <c r="A18" s="9" t="inlineStr">
        <is>
          <t>Minimum</t>
        </is>
      </c>
      <c r="D18" s="10">
        <f>MIN(D7:D12)</f>
        <v/>
      </c>
      <c r="F18" s="10">
        <f>MIN(F7:F12)</f>
        <v/>
      </c>
      <c r="H18" s="10">
        <f>MIN(H7:H12)</f>
        <v/>
      </c>
      <c r="J18" s="10">
        <f>MIN(J7:J12)</f>
        <v/>
      </c>
      <c r="K18" s="11">
        <f>MIN(K7:K12)</f>
        <v/>
      </c>
    </row>
    <row r="21">
      <c r="A21" s="4" t="inlineStr">
        <is>
          <t>VALUATION MULTIPLES &amp; INVESTMENT METRICS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6" t="inlineStr">
        <is>
          <t>Company</t>
        </is>
      </c>
      <c r="B22" s="6" t="inlineStr">
        <is>
          <t>Market Cap</t>
        </is>
      </c>
      <c r="C22" s="6" t="inlineStr">
        <is>
          <t>Net Debt</t>
        </is>
      </c>
      <c r="D22" s="6" t="inlineStr">
        <is>
          <t>Enterprise Value</t>
        </is>
      </c>
      <c r="E22" s="6" t="inlineStr">
        <is>
          <t>EV / Revenue</t>
        </is>
      </c>
      <c r="F22" s="6" t="inlineStr">
        <is>
          <t>EV / EBITDA</t>
        </is>
      </c>
      <c r="G22" s="6" t="inlineStr">
        <is>
          <t>Net Income</t>
        </is>
      </c>
      <c r="H22" s="6" t="inlineStr">
        <is>
          <t>P/E</t>
        </is>
      </c>
    </row>
    <row r="23">
      <c r="A23" s="2" t="inlineStr">
        <is>
          <t>Apple Inc. (AAPL)</t>
        </is>
      </c>
      <c r="B23" s="7" t="n">
        <v>4532958.9</v>
      </c>
      <c r="C23" s="7" t="n">
        <v>62723</v>
      </c>
      <c r="D23" s="12">
        <f>B23+C23</f>
        <v/>
      </c>
      <c r="E23" s="13">
        <f>D23/B7</f>
        <v/>
      </c>
      <c r="F23" s="13">
        <f>D23/G7</f>
        <v/>
      </c>
      <c r="G23" s="7" t="n">
        <v>112010</v>
      </c>
      <c r="H23" s="13">
        <f>B23/G23</f>
        <v/>
      </c>
    </row>
    <row r="24">
      <c r="A24" s="2" t="inlineStr">
        <is>
          <t>Microsoft Corporation (MSFT)</t>
        </is>
      </c>
      <c r="B24" s="7" t="n">
        <v>2900729.5</v>
      </c>
      <c r="C24" s="7" t="n">
        <v>12909</v>
      </c>
      <c r="D24" s="12">
        <f>B24+C24</f>
        <v/>
      </c>
      <c r="E24" s="13">
        <f>D24/B8</f>
        <v/>
      </c>
      <c r="F24" s="13">
        <f>D24/G8</f>
        <v/>
      </c>
      <c r="G24" s="7" t="n">
        <v>101832</v>
      </c>
      <c r="H24" s="13">
        <f>B24/G24</f>
        <v/>
      </c>
    </row>
    <row r="25">
      <c r="A25" s="2" t="inlineStr">
        <is>
          <t>Amazon.com, Inc. (AMZN)</t>
        </is>
      </c>
      <c r="B25" s="7" t="n">
        <v>2610427.9</v>
      </c>
      <c r="C25" s="7" t="n">
        <v>13262</v>
      </c>
      <c r="D25" s="12">
        <f>B25+C25</f>
        <v/>
      </c>
      <c r="E25" s="13">
        <f>D25/B9</f>
        <v/>
      </c>
      <c r="F25" s="13">
        <f>D25/G9</f>
        <v/>
      </c>
      <c r="G25" s="7" t="n">
        <v>77670</v>
      </c>
      <c r="H25" s="13">
        <f>B25/G25</f>
        <v/>
      </c>
    </row>
    <row r="26">
      <c r="A26" s="2" t="inlineStr">
        <is>
          <t>NVIDIA Corporation (NVDA)</t>
        </is>
      </c>
      <c r="B26" s="7" t="n">
        <v>4718977.4</v>
      </c>
      <c r="C26" s="7" t="n">
        <v>2429</v>
      </c>
      <c r="D26" s="12">
        <f>B26+C26</f>
        <v/>
      </c>
      <c r="E26" s="13">
        <f>D26/B10</f>
        <v/>
      </c>
      <c r="F26" s="13">
        <f>D26/G10</f>
        <v/>
      </c>
      <c r="G26" s="7" t="n">
        <v>120067</v>
      </c>
      <c r="H26" s="13">
        <f>B26/G26</f>
        <v/>
      </c>
    </row>
    <row r="27">
      <c r="A27" s="2" t="inlineStr">
        <is>
          <t>Alphabet Inc. (GOOGL)</t>
        </is>
      </c>
      <c r="B27" s="7" t="n">
        <v>4391827.9</v>
      </c>
      <c r="C27" s="7" t="n">
        <v>15839</v>
      </c>
      <c r="D27" s="12">
        <f>B27+C27</f>
        <v/>
      </c>
      <c r="E27" s="13">
        <f>D27/B11</f>
        <v/>
      </c>
      <c r="F27" s="13">
        <f>D27/G11</f>
        <v/>
      </c>
      <c r="G27" s="7" t="n">
        <v>132170</v>
      </c>
      <c r="H27" s="13">
        <f>B27/G27</f>
        <v/>
      </c>
    </row>
    <row r="28">
      <c r="A28" s="2" t="inlineStr">
        <is>
          <t>Taiwan Semiconductor Manufacturing Company Limited (TSM)</t>
        </is>
      </c>
      <c r="B28" s="7" t="n">
        <v>2251759.6</v>
      </c>
      <c r="C28" s="7" t="n">
        <v>-53325.6</v>
      </c>
      <c r="D28" s="12">
        <f>B28+C28</f>
        <v/>
      </c>
      <c r="E28" s="13">
        <f>D28/B12</f>
        <v/>
      </c>
      <c r="F28" s="13">
        <f>D28/G12</f>
        <v/>
      </c>
      <c r="G28" s="7" t="n">
        <v>53148.1</v>
      </c>
      <c r="H28" s="13">
        <f>B28/G28</f>
        <v/>
      </c>
    </row>
    <row r="30">
      <c r="A30" s="9" t="inlineStr">
        <is>
          <t>Maximum</t>
        </is>
      </c>
      <c r="E30" s="14">
        <f>MAX(E23:E28)</f>
        <v/>
      </c>
      <c r="F30" s="14">
        <f>MAX(F23:F28)</f>
        <v/>
      </c>
      <c r="H30" s="14">
        <f>MAX(H23:H28)</f>
        <v/>
      </c>
    </row>
    <row r="31">
      <c r="A31" s="9" t="inlineStr">
        <is>
          <t>75th Percentile</t>
        </is>
      </c>
      <c r="E31" s="14">
        <f>QUARTILE(E23:E28,3)</f>
        <v/>
      </c>
      <c r="F31" s="14">
        <f>QUARTILE(F23:F28,3)</f>
        <v/>
      </c>
      <c r="H31" s="14">
        <f>QUARTILE(H23:H28,3)</f>
        <v/>
      </c>
    </row>
    <row r="32">
      <c r="A32" s="9" t="inlineStr">
        <is>
          <t>Median</t>
        </is>
      </c>
      <c r="E32" s="14">
        <f>MEDIAN(E23:E28)</f>
        <v/>
      </c>
      <c r="F32" s="14">
        <f>MEDIAN(F23:F28)</f>
        <v/>
      </c>
      <c r="H32" s="14">
        <f>MEDIAN(H23:H28)</f>
        <v/>
      </c>
    </row>
    <row r="33">
      <c r="A33" s="9" t="inlineStr">
        <is>
          <t>25th Percentile</t>
        </is>
      </c>
      <c r="E33" s="14">
        <f>QUARTILE(E23:E28,1)</f>
        <v/>
      </c>
      <c r="F33" s="14">
        <f>QUARTILE(F23:F28,1)</f>
        <v/>
      </c>
      <c r="H33" s="14">
        <f>QUARTILE(H23:H28,1)</f>
        <v/>
      </c>
    </row>
    <row r="34">
      <c r="A34" s="9" t="inlineStr">
        <is>
          <t>Minimum</t>
        </is>
      </c>
      <c r="E34" s="14">
        <f>MIN(E23:E28)</f>
        <v/>
      </c>
      <c r="F34" s="14">
        <f>MIN(F23:F28)</f>
        <v/>
      </c>
      <c r="H34" s="14">
        <f>MIN(H23:H28)</f>
        <v/>
      </c>
    </row>
    <row r="37">
      <c r="A37" s="4" t="inlineStr">
        <is>
          <t>NOTES &amp; METHODOLOGY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15" t="inlineStr">
        <is>
          <t>• Fonte dos dados: pipeline próprio do projeto (yfinance -&gt; SQLite via src/data_fetch.py), não usamos web search para os números — todos vêm do banco já validado nas Etapas 1-2.</t>
        </is>
      </c>
    </row>
    <row r="39">
      <c r="A39" s="15" t="inlineStr">
        <is>
          <t>• EBITDA: linha 'EBITDA' como reportada pelo yfinance (não recalculada a partir de Operating Income + D&amp;A).</t>
        </is>
      </c>
    </row>
    <row r="40">
      <c r="A40" s="15" t="inlineStr">
        <is>
          <t>• Free Cash Flow: definição yfinance = Fluxo de Caixa Operacional - CapEx.</t>
        </is>
      </c>
    </row>
    <row r="41">
      <c r="A41" s="15" t="inlineStr">
        <is>
          <t>• Revenue Growth: variação YoY entre os dois períodos anuais mais recentes disponíveis (fiscal year end de cada empresa).</t>
        </is>
      </c>
    </row>
    <row r="42">
      <c r="A42" s="15" t="inlineStr">
        <is>
          <t>• Enterprise Value = Market Cap + Net Debt. TSM não tem a linha 'Net Debt' pronta — calculada como Total Debt - Caixa.</t>
        </is>
      </c>
    </row>
    <row r="43">
      <c r="A43" s="15" t="inlineStr">
        <is>
          <t>• Market Cap da GOOGL já soma as duas classes de ação (Class A + Class C); shares_outstanding do ticker isoladamente NÃO reflete isso — ver bug documentado na Etapa de comps, corrigido no WACC do dcf.py.</t>
        </is>
      </c>
    </row>
    <row r="44">
      <c r="A44" s="15" t="inlineStr">
        <is>
          <t>• LIMITAÇÃO DE COMPARABILIDADE: TSM é uma fabricante de semicondutores (capital-intensiva, margens e modelo de negócio de manufatura), bem diferente das outras 5 (plataformas de software/internet/hardware de consumo). Os múltiplos da TSM devem ser lidos com essa ressalva — comparar diretamente contra o grupo pode distorcer a leitura de 'caro vs. barato'.</t>
        </is>
      </c>
    </row>
    <row r="45">
      <c r="A45" s="15" t="inlineStr">
        <is>
          <t>• Como usar isso com o DCF: se uma ação tem upside negativo no DCF (Etapa 3) E múltiplos no topo do grupo aqui, é um sinal mais forte de que está cara. Se os dois métodos discordam, vale investigar as premissas.</t>
        </is>
      </c>
    </row>
  </sheetData>
  <mergeCells count="14">
    <mergeCell ref="A3:K3"/>
    <mergeCell ref="A21:K21"/>
    <mergeCell ref="A39:K39"/>
    <mergeCell ref="A43:K43"/>
    <mergeCell ref="A38:K38"/>
    <mergeCell ref="A2:K2"/>
    <mergeCell ref="A41:K41"/>
    <mergeCell ref="A45:K45"/>
    <mergeCell ref="A42:K42"/>
    <mergeCell ref="A5:K5"/>
    <mergeCell ref="A40:K40"/>
    <mergeCell ref="A44:K44"/>
    <mergeCell ref="A1:K1"/>
    <mergeCell ref="A37:K37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2026-07-03T05:03:25Z</dcterms:created>
  <dcterms:modified xmlns:dcterms="http://purl.org/dc/terms/" xmlns:xsi="http://www.w3.org/2001/XMLSchema-instance" xsi:type="dcterms:W3CDTF">2026-07-03T05:03:25Z</dcterms:modified>
</cp:coreProperties>
</file>