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Alphabet Inc. (GOOGL) — DCF VALUATION</t>
        </is>
      </c>
    </row>
    <row r="2">
      <c r="A2" s="2" t="inlineStr">
        <is>
          <t>Communication Services / Internet Content &amp; Information | Gerado em 04/07/2026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359.9100036621094</v>
      </c>
    </row>
    <row r="6">
      <c r="A6" s="5" t="inlineStr">
        <is>
          <t>↳ preço de fechamento de</t>
        </is>
      </c>
      <c r="B6" t="inlineStr">
        <is>
          <t>2026-07-02</t>
        </is>
      </c>
    </row>
    <row r="7">
      <c r="A7" s="5" t="inlineStr">
        <is>
          <t>Preço-alvo (DCF)</t>
        </is>
      </c>
      <c r="B7" s="6" t="n">
        <v>185.6759443133523</v>
      </c>
    </row>
    <row r="8">
      <c r="A8" s="5" t="inlineStr">
        <is>
          <t>Upside / Downside</t>
        </is>
      </c>
      <c r="B8" s="7">
        <f>(B7/B5)-1</f>
        <v/>
      </c>
    </row>
    <row r="9">
      <c r="A9" s="8" t="inlineStr">
        <is>
          <t>Recomendação</t>
        </is>
      </c>
      <c r="B9" s="9" t="inlineStr">
        <is>
          <t>Venda</t>
        </is>
      </c>
    </row>
    <row r="10">
      <c r="A10" s="5" t="inlineStr">
        <is>
          <t>Threshold Compra / Venda</t>
        </is>
      </c>
      <c r="B10" t="inlineStr">
        <is>
          <t>&gt;15% / &lt;-15%</t>
        </is>
      </c>
    </row>
    <row r="12">
      <c r="A12" s="3" t="inlineStr">
        <is>
          <t>WACC (CAPM)</t>
        </is>
      </c>
      <c r="B12" s="4" t="n"/>
      <c r="C12" s="4" t="n"/>
      <c r="D12" s="4" t="n"/>
      <c r="E12" s="4" t="n"/>
      <c r="F12" s="4" t="n"/>
      <c r="G12" s="4" t="n"/>
    </row>
    <row r="13">
      <c r="A13" s="5" t="inlineStr">
        <is>
          <t>Beta</t>
        </is>
      </c>
      <c r="B13" t="n">
        <v>1.237</v>
      </c>
    </row>
    <row r="14">
      <c r="A14" s="5" t="inlineStr">
        <is>
          <t>Taxa livre de risco (Treasury 10Y)</t>
        </is>
      </c>
      <c r="B14" s="10" t="n">
        <v>0.04484999656677246</v>
      </c>
    </row>
    <row r="15">
      <c r="A15" s="5" t="inlineStr">
        <is>
          <t>↳ fonte: ao vivo (pregão de 2026-07-02)</t>
        </is>
      </c>
      <c r="B15" t="inlineStr"/>
    </row>
    <row r="16">
      <c r="A16" s="5" t="inlineStr">
        <is>
          <t>Prêmio de risco de mercado (ERP, Damodaran)</t>
        </is>
      </c>
      <c r="B16" s="10" t="n">
        <v>0.0423</v>
      </c>
    </row>
    <row r="17">
      <c r="A17" s="5" t="inlineStr">
        <is>
          <t>Custo do capital próprio (CAPM)</t>
        </is>
      </c>
      <c r="B17" s="10" t="n">
        <v>0.09717509656677245</v>
      </c>
    </row>
    <row r="18">
      <c r="A18" s="5" t="inlineStr">
        <is>
          <t>Dívida total</t>
        </is>
      </c>
      <c r="B18" s="11" t="n">
        <v>59291000000</v>
      </c>
    </row>
    <row r="19">
      <c r="A19" s="5" t="inlineStr">
        <is>
          <t>Custo da dívida pré-imposto (Desp. Juros / Dívida)</t>
        </is>
      </c>
      <c r="B19" s="10" t="n">
        <v>0.0124133510988177</v>
      </c>
    </row>
    <row r="20">
      <c r="A20" s="5" t="inlineStr">
        <is>
          <t>Taxa de imposto efetiva</t>
        </is>
      </c>
      <c r="B20" s="7" t="n">
        <v>0.166113286244496</v>
      </c>
    </row>
    <row r="21">
      <c r="A21" s="5" t="inlineStr">
        <is>
          <t>Custo da dívida pós-imposto</t>
        </is>
      </c>
      <c r="B21" s="10" t="n">
        <v>0.01035132855448636</v>
      </c>
    </row>
    <row r="22">
      <c r="A22" s="5" t="inlineStr">
        <is>
          <t>Valor de mercado do equity</t>
        </is>
      </c>
      <c r="B22" s="11" t="n">
        <v>4391827931136</v>
      </c>
    </row>
    <row r="23">
      <c r="A23" s="5" t="inlineStr">
        <is>
          <t>Peso equity / Peso dívida</t>
        </is>
      </c>
      <c r="B23" t="inlineStr">
        <is>
          <t>98.7% / 1.3%</t>
        </is>
      </c>
    </row>
    <row r="24">
      <c r="A24" s="12" t="inlineStr">
        <is>
          <t>WACC</t>
        </is>
      </c>
      <c r="B24" s="13" t="n">
        <v>0.09601856309533303</v>
      </c>
    </row>
    <row r="26">
      <c r="A26" s="3" t="inlineStr">
        <is>
          <t>PREMISSAS DE PROJEÇÃO</t>
        </is>
      </c>
      <c r="B26" s="4" t="n"/>
      <c r="C26" s="4" t="n"/>
      <c r="D26" s="4" t="n"/>
      <c r="E26" s="4" t="n"/>
      <c r="F26" s="4" t="n"/>
      <c r="G26" s="4" t="n"/>
    </row>
    <row r="27">
      <c r="A27" s="5" t="inlineStr">
        <is>
          <t>Horizonte de projeção explícita</t>
        </is>
      </c>
      <c r="B27" t="inlineStr">
        <is>
          <t>5 anos</t>
        </is>
      </c>
    </row>
    <row r="28">
      <c r="A28" s="5" t="inlineStr">
        <is>
          <t>Receita base (mais recente)</t>
        </is>
      </c>
      <c r="B28" s="11" t="n">
        <v>402836000000</v>
      </c>
    </row>
    <row r="29">
      <c r="A29" s="5" t="inlineStr">
        <is>
          <t>↳ período fiscal do documento (10-K/10-Q)</t>
        </is>
      </c>
      <c r="B29" t="inlineStr">
        <is>
          <t>2025-12-31</t>
        </is>
      </c>
    </row>
    <row r="30">
      <c r="A30" s="5" t="inlineStr">
        <is>
          <t>↳ dados buscados do yfinance em</t>
        </is>
      </c>
      <c r="B30" t="inlineStr">
        <is>
          <t>2026-07-03</t>
        </is>
      </c>
    </row>
    <row r="31">
      <c r="A31" s="5" t="inlineStr">
        <is>
          <t>Crescimento de receita — ano 1 (consenso)</t>
        </is>
      </c>
      <c r="B31" s="7" t="n">
        <v>0.145</v>
      </c>
    </row>
    <row r="32">
      <c r="A32" s="5" t="inlineStr">
        <is>
          <t>Crescimento na perpetuidade (Gordon Growth)</t>
        </is>
      </c>
      <c r="B32" s="7" t="n">
        <v>0.025</v>
      </c>
    </row>
    <row r="33">
      <c r="A33" s="5" t="inlineStr">
        <is>
          <t>Margem EBIT (média histórica)</t>
        </is>
      </c>
      <c r="B33" s="7" t="n">
        <v>0.3695866581749781</v>
      </c>
    </row>
    <row r="34">
      <c r="A34" s="5" t="inlineStr">
        <is>
          <t>D&amp;A (% da receita, média histórica)</t>
        </is>
      </c>
      <c r="B34" s="7" t="n">
        <v>0.04810573324429204</v>
      </c>
    </row>
    <row r="35">
      <c r="A35" s="5" t="inlineStr">
        <is>
          <t>CapEx ano 1 (guidance pública / histórico)</t>
        </is>
      </c>
      <c r="B35" s="7" t="n">
        <v>-0.377100294154915</v>
      </c>
    </row>
    <row r="36">
      <c r="A36" s="5" t="inlineStr">
        <is>
          <t>CapEx normalizado (média histórica)</t>
        </is>
      </c>
      <c r="B36" s="7" t="n">
        <v>-0.1885501470774575</v>
      </c>
    </row>
    <row r="37">
      <c r="A37" s="5" t="inlineStr">
        <is>
          <t>Variação de capital de giro (% da receita)</t>
        </is>
      </c>
      <c r="B37" s="7" t="n">
        <v>-0.01124089234293189</v>
      </c>
    </row>
    <row r="39">
      <c r="A39" s="3" t="inlineStr">
        <is>
          <t>PROJEÇÃO DE FLUXO DE CAIXA (FCFF)</t>
        </is>
      </c>
      <c r="B39" s="4" t="n"/>
      <c r="C39" s="4" t="n"/>
      <c r="D39" s="4" t="n"/>
      <c r="E39" s="4" t="n"/>
      <c r="F39" s="4" t="n"/>
      <c r="G39" s="4" t="n"/>
    </row>
    <row r="40">
      <c r="A40" s="14" t="inlineStr">
        <is>
          <t>Ano</t>
        </is>
      </c>
      <c r="B40" s="14" t="inlineStr">
        <is>
          <t>Receita</t>
        </is>
      </c>
      <c r="C40" s="14" t="inlineStr">
        <is>
          <t>CapEx (% receita)</t>
        </is>
      </c>
      <c r="D40" s="14" t="inlineStr">
        <is>
          <t>FCFF</t>
        </is>
      </c>
      <c r="E40" s="14" t="inlineStr">
        <is>
          <t>Valor Presente do FCFF</t>
        </is>
      </c>
    </row>
    <row r="41">
      <c r="A41" s="15" t="n">
        <v>1</v>
      </c>
      <c r="B41" s="16" t="n">
        <v>461247220000</v>
      </c>
      <c r="C41" s="17" t="n">
        <v>-0.377100294154915</v>
      </c>
      <c r="D41" s="16" t="n">
        <v>-14779306218</v>
      </c>
      <c r="E41" s="16" t="n">
        <v>-13484540058</v>
      </c>
    </row>
    <row r="42">
      <c r="A42" s="15" t="n">
        <v>2</v>
      </c>
      <c r="B42" s="16" t="n">
        <v>514290650300</v>
      </c>
      <c r="C42" s="17" t="n">
        <v>-0.1885501470774575</v>
      </c>
      <c r="D42" s="16" t="n">
        <v>80490651321</v>
      </c>
      <c r="E42" s="16" t="n">
        <v>67005371914</v>
      </c>
    </row>
    <row r="43">
      <c r="A43" s="15" t="n">
        <v>3</v>
      </c>
      <c r="B43" s="16" t="n">
        <v>558005355576</v>
      </c>
      <c r="C43" s="17" t="n">
        <v>-0.1885501470774575</v>
      </c>
      <c r="D43" s="16" t="n">
        <v>87332356684</v>
      </c>
      <c r="E43" s="16" t="n">
        <v>66331749274</v>
      </c>
    </row>
    <row r="44">
      <c r="A44" s="15" t="n">
        <v>4</v>
      </c>
      <c r="B44" s="16" t="n">
        <v>588695650132</v>
      </c>
      <c r="C44" s="17" t="n">
        <v>-0.1885501470774575</v>
      </c>
      <c r="D44" s="16" t="n">
        <v>92135636301</v>
      </c>
      <c r="E44" s="16" t="n">
        <v>63849279420</v>
      </c>
    </row>
    <row r="45">
      <c r="A45" s="15" t="n">
        <v>5</v>
      </c>
      <c r="B45" s="16" t="n">
        <v>603413041385</v>
      </c>
      <c r="C45" s="17" t="n">
        <v>-0.1885501470774575</v>
      </c>
      <c r="D45" s="16" t="n">
        <v>94439027209</v>
      </c>
      <c r="E45" s="16" t="n">
        <v>59712046501</v>
      </c>
    </row>
    <row r="47">
      <c r="A47" s="5" t="inlineStr">
        <is>
          <t>Soma dos VPs dos FCFF projetados</t>
        </is>
      </c>
      <c r="B47" s="11">
        <f>SUM(E41:E45)</f>
        <v/>
      </c>
    </row>
    <row r="48">
      <c r="A48" s="5" t="inlineStr">
        <is>
          <t>Valor terminal (Gordon Growth)</t>
        </is>
      </c>
      <c r="B48" s="11" t="n">
        <v>1363023956977.726</v>
      </c>
    </row>
    <row r="49">
      <c r="A49" s="5" t="inlineStr">
        <is>
          <t>Valor presente do valor terminal</t>
        </is>
      </c>
      <c r="B49" s="11" t="n">
        <v>861814784691.2545</v>
      </c>
    </row>
    <row r="50">
      <c r="A50" s="12" t="inlineStr">
        <is>
          <t>Valor da empresa (Enterprise Value)</t>
        </is>
      </c>
      <c r="B50" s="18">
        <f>B47+B49</f>
        <v/>
      </c>
    </row>
    <row r="51">
      <c r="A51" s="5" t="inlineStr">
        <is>
          <t>(-) Dívida líquida</t>
        </is>
      </c>
      <c r="B51" s="11" t="n">
        <v>15839000000</v>
      </c>
    </row>
    <row r="52">
      <c r="A52" s="12" t="inlineStr">
        <is>
          <t>Valor do equity</t>
        </is>
      </c>
      <c r="B52" s="18">
        <f>B50-B51</f>
        <v/>
      </c>
    </row>
    <row r="53">
      <c r="A53" s="5" t="inlineStr">
        <is>
          <t>Ações em circulação</t>
        </is>
      </c>
      <c r="B53" s="19" t="n">
        <v>5867155790</v>
      </c>
    </row>
    <row r="54">
      <c r="A54" s="12" t="inlineStr">
        <is>
          <t>Preço-alvo por ação (=Valor do equity / Ações)</t>
        </is>
      </c>
      <c r="B54" s="20">
        <f>B52/B53</f>
        <v/>
      </c>
    </row>
    <row r="56">
      <c r="A56" s="3" t="inlineStr">
        <is>
          <t>NOTAS</t>
        </is>
      </c>
      <c r="B56" s="4" t="n"/>
      <c r="C56" s="4" t="n"/>
      <c r="D56" s="4" t="n"/>
      <c r="E56" s="4" t="n"/>
      <c r="F56" s="4" t="n"/>
      <c r="G56" s="4" t="n"/>
    </row>
    <row r="57">
      <c r="A57" s="21" t="inlineStr">
        <is>
          <t>• Fonte dos dados: pipeline próprio (yfinance -&gt; SQLite via src/data_fetch.py). Cálculo do DCF: src/dcf.py (versionado no Git).</t>
        </is>
      </c>
    </row>
    <row r="58">
      <c r="A58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9">
      <c r="A59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58:G58"/>
    <mergeCell ref="A1:G1"/>
    <mergeCell ref="A56:G56"/>
    <mergeCell ref="A39:G39"/>
    <mergeCell ref="A12:G12"/>
    <mergeCell ref="A4:G4"/>
    <mergeCell ref="A26:G26"/>
    <mergeCell ref="A2:G2"/>
    <mergeCell ref="A59:G59"/>
    <mergeCell ref="A57:G5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2026-07-04T21:35:53Z</dcterms:created>
  <dcterms:modified xmlns:dcterms="http://purl.org/dc/terms/" xmlns:xsi="http://www.w3.org/2001/XMLSchema-instance" xsi:type="dcterms:W3CDTF">2026-07-04T21:35:53Z</dcterms:modified>
</cp:coreProperties>
</file>