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C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0.0%"/>
    <numFmt numFmtId="166" formatCode="$#,##0"/>
  </numFmts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sz val="9"/>
    </font>
    <font>
      <b val="1"/>
      <color rgb="00FFFFFF"/>
      <sz val="12"/>
    </font>
    <font>
      <b val="1"/>
    </font>
    <font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4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4" fillId="3" borderId="0" pivotButton="0" quotePrefix="0" xfId="0"/>
    <xf numFmtId="0" fontId="0" fillId="3" borderId="0" pivotButton="0" quotePrefix="0" xfId="0"/>
    <xf numFmtId="10" fontId="0" fillId="0" borderId="0" pivotButton="0" quotePrefix="0" xfId="0"/>
    <xf numFmtId="166" fontId="0" fillId="0" borderId="0" pivotButton="0" quotePrefix="0" xfId="0"/>
    <xf numFmtId="0" fontId="4" fillId="4" borderId="0" pivotButton="0" quotePrefix="0" xfId="0"/>
    <xf numFmtId="10" fontId="0" fillId="4" borderId="0" pivotButton="0" quotePrefix="0" xfId="0"/>
    <xf numFmtId="0" fontId="4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4" borderId="0" pivotButton="0" quotePrefix="0" xfId="0"/>
    <xf numFmtId="3" fontId="0" fillId="0" borderId="0" pivotButton="0" quotePrefix="0" xfId="0"/>
    <xf numFmtId="164" fontId="0" fillId="4" borderId="0" pivotButton="0" quotePrefix="0" xfId="0"/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cols>
    <col width="42" customWidth="1" min="1" max="1"/>
    <col width="20" customWidth="1" min="2" max="2"/>
    <col width="18" customWidth="1" min="3" max="3"/>
    <col width="18" customWidth="1" min="4" max="4"/>
    <col width="20" customWidth="1" min="5" max="5"/>
    <col width="12" customWidth="1" min="6" max="6"/>
    <col width="12" customWidth="1" min="7" max="7"/>
  </cols>
  <sheetData>
    <row r="1">
      <c r="A1" s="1" t="inlineStr">
        <is>
          <t>Alphabet Inc. (GOOGL) — DCF VALUATION</t>
        </is>
      </c>
    </row>
    <row r="2">
      <c r="A2" s="2" t="inlineStr">
        <is>
          <t>Communication Services / Internet Content &amp; Information | As of 03/07/2026 | Valores em USD, exceto preço por ação</t>
        </is>
      </c>
    </row>
    <row r="4">
      <c r="A4" s="3" t="inlineStr">
        <is>
          <t>RESUMO DO VALUATION</t>
        </is>
      </c>
      <c r="B4" s="4" t="n"/>
      <c r="C4" s="4" t="n"/>
      <c r="D4" s="4" t="n"/>
      <c r="E4" s="4" t="n"/>
      <c r="F4" s="4" t="n"/>
      <c r="G4" s="4" t="n"/>
    </row>
    <row r="5">
      <c r="A5" s="5" t="inlineStr">
        <is>
          <t>Preço atual</t>
        </is>
      </c>
      <c r="B5" s="6" t="n">
        <v>359.9100036621094</v>
      </c>
    </row>
    <row r="6">
      <c r="A6" s="5" t="inlineStr">
        <is>
          <t>Preço-alvo (DCF)</t>
        </is>
      </c>
      <c r="B6" s="6" t="n">
        <v>188.9319452481771</v>
      </c>
    </row>
    <row r="7">
      <c r="A7" s="5" t="inlineStr">
        <is>
          <t>Upside / Downside</t>
        </is>
      </c>
      <c r="B7" s="7">
        <f>(B6/B5)-1</f>
        <v/>
      </c>
    </row>
    <row r="8">
      <c r="A8" s="8" t="inlineStr">
        <is>
          <t>Recomendação</t>
        </is>
      </c>
      <c r="B8" s="9" t="inlineStr">
        <is>
          <t>Venda</t>
        </is>
      </c>
    </row>
    <row r="9">
      <c r="A9" s="5" t="inlineStr">
        <is>
          <t>Threshold Compra / Venda</t>
        </is>
      </c>
      <c r="B9" t="inlineStr">
        <is>
          <t>&gt;15% / &lt;-15%</t>
        </is>
      </c>
    </row>
    <row r="11">
      <c r="A11" s="3" t="inlineStr">
        <is>
          <t>WACC (CAPM)</t>
        </is>
      </c>
      <c r="B11" s="4" t="n"/>
      <c r="C11" s="4" t="n"/>
      <c r="D11" s="4" t="n"/>
      <c r="E11" s="4" t="n"/>
      <c r="F11" s="4" t="n"/>
      <c r="G11" s="4" t="n"/>
    </row>
    <row r="12">
      <c r="A12" s="5" t="inlineStr">
        <is>
          <t>Beta</t>
        </is>
      </c>
      <c r="B12" t="n">
        <v>1.237</v>
      </c>
    </row>
    <row r="13">
      <c r="A13" s="5" t="inlineStr">
        <is>
          <t>Taxa livre de risco (Treasury 10Y)</t>
        </is>
      </c>
      <c r="B13" s="10" t="n">
        <v>0.04372000217437744</v>
      </c>
    </row>
    <row r="14">
      <c r="A14" s="5" t="inlineStr">
        <is>
          <t>Prêmio de risco de mercado (ERP, Damodaran)</t>
        </is>
      </c>
      <c r="B14" s="10" t="n">
        <v>0.0423</v>
      </c>
    </row>
    <row r="15">
      <c r="A15" s="5" t="inlineStr">
        <is>
          <t>Custo do capital próprio (CAPM)</t>
        </is>
      </c>
      <c r="B15" s="10" t="n">
        <v>0.09604510217437745</v>
      </c>
    </row>
    <row r="16">
      <c r="A16" s="5" t="inlineStr">
        <is>
          <t>Dívida total</t>
        </is>
      </c>
      <c r="B16" s="11" t="n">
        <v>59291000000</v>
      </c>
    </row>
    <row r="17">
      <c r="A17" s="5" t="inlineStr">
        <is>
          <t>Custo da dívida pré-imposto (Desp. Juros / Dívida)</t>
        </is>
      </c>
      <c r="B17" s="10" t="n">
        <v>0.0124133510988177</v>
      </c>
    </row>
    <row r="18">
      <c r="A18" s="5" t="inlineStr">
        <is>
          <t>Taxa de imposto efetiva</t>
        </is>
      </c>
      <c r="B18" s="7" t="n">
        <v>0.166113286244496</v>
      </c>
    </row>
    <row r="19">
      <c r="A19" s="5" t="inlineStr">
        <is>
          <t>Custo da dívida pós-imposto</t>
        </is>
      </c>
      <c r="B19" s="10" t="n">
        <v>0.01035132855448636</v>
      </c>
    </row>
    <row r="20">
      <c r="A20" s="5" t="inlineStr">
        <is>
          <t>Valor de mercado do equity</t>
        </is>
      </c>
      <c r="B20" s="11" t="n">
        <v>4391827931136</v>
      </c>
    </row>
    <row r="21">
      <c r="A21" s="5" t="inlineStr">
        <is>
          <t>Peso equity / Peso dívida</t>
        </is>
      </c>
      <c r="B21" t="inlineStr">
        <is>
          <t>98.7% / 1.3%</t>
        </is>
      </c>
    </row>
    <row r="22">
      <c r="A22" s="12" t="inlineStr">
        <is>
          <t>WACC</t>
        </is>
      </c>
      <c r="B22" s="13" t="n">
        <v>0.09490362076030968</v>
      </c>
    </row>
    <row r="24">
      <c r="A24" s="3" t="inlineStr">
        <is>
          <t>PREMISSAS DE PROJEÇÃO</t>
        </is>
      </c>
      <c r="B24" s="4" t="n"/>
      <c r="C24" s="4" t="n"/>
      <c r="D24" s="4" t="n"/>
      <c r="E24" s="4" t="n"/>
      <c r="F24" s="4" t="n"/>
      <c r="G24" s="4" t="n"/>
    </row>
    <row r="25">
      <c r="A25" s="5" t="inlineStr">
        <is>
          <t>Horizonte de projeção explícita</t>
        </is>
      </c>
      <c r="B25" t="inlineStr">
        <is>
          <t>5 anos</t>
        </is>
      </c>
    </row>
    <row r="26">
      <c r="A26" s="5" t="inlineStr">
        <is>
          <t>Receita base (mais recente)</t>
        </is>
      </c>
      <c r="B26" s="11" t="n">
        <v>402836000000</v>
      </c>
    </row>
    <row r="27">
      <c r="A27" s="5" t="inlineStr">
        <is>
          <t>Crescimento de receita — ano 1 (consenso)</t>
        </is>
      </c>
      <c r="B27" s="7" t="n">
        <v>0.145</v>
      </c>
    </row>
    <row r="28">
      <c r="A28" s="5" t="inlineStr">
        <is>
          <t>Crescimento na perpetuidade (Gordon Growth)</t>
        </is>
      </c>
      <c r="B28" s="7" t="n">
        <v>0.025</v>
      </c>
    </row>
    <row r="29">
      <c r="A29" s="5" t="inlineStr">
        <is>
          <t>Margem EBIT (média histórica)</t>
        </is>
      </c>
      <c r="B29" s="7" t="n">
        <v>0.3695866581749781</v>
      </c>
    </row>
    <row r="30">
      <c r="A30" s="5" t="inlineStr">
        <is>
          <t>D&amp;A (% da receita, média histórica)</t>
        </is>
      </c>
      <c r="B30" s="7" t="n">
        <v>0.04810573324429204</v>
      </c>
    </row>
    <row r="31">
      <c r="A31" s="5" t="inlineStr">
        <is>
          <t>CapEx ano 1 (guidance pública / histórico)</t>
        </is>
      </c>
      <c r="B31" s="7" t="n">
        <v>-0.377100294154915</v>
      </c>
    </row>
    <row r="32">
      <c r="A32" s="5" t="inlineStr">
        <is>
          <t>CapEx normalizado (média histórica)</t>
        </is>
      </c>
      <c r="B32" s="7" t="n">
        <v>-0.1885501470774575</v>
      </c>
    </row>
    <row r="33">
      <c r="A33" s="5" t="inlineStr">
        <is>
          <t>Variação de capital de giro (% da receita)</t>
        </is>
      </c>
      <c r="B33" s="7" t="n">
        <v>-0.01124089234293189</v>
      </c>
    </row>
    <row r="35">
      <c r="A35" s="3" t="inlineStr">
        <is>
          <t>PROJEÇÃO DE FLUXO DE CAIXA (FCFF)</t>
        </is>
      </c>
      <c r="B35" s="4" t="n"/>
      <c r="C35" s="4" t="n"/>
      <c r="D35" s="4" t="n"/>
      <c r="E35" s="4" t="n"/>
      <c r="F35" s="4" t="n"/>
      <c r="G35" s="4" t="n"/>
    </row>
    <row r="36">
      <c r="A36" s="14" t="inlineStr">
        <is>
          <t>Ano</t>
        </is>
      </c>
      <c r="B36" s="14" t="inlineStr">
        <is>
          <t>Receita</t>
        </is>
      </c>
      <c r="C36" s="14" t="inlineStr">
        <is>
          <t>CapEx (% receita)</t>
        </is>
      </c>
      <c r="D36" s="14" t="inlineStr">
        <is>
          <t>FCFF</t>
        </is>
      </c>
      <c r="E36" s="14" t="inlineStr">
        <is>
          <t>Valor Presente do FCFF</t>
        </is>
      </c>
    </row>
    <row r="37">
      <c r="A37" s="15" t="n">
        <v>1</v>
      </c>
      <c r="B37" s="16" t="n">
        <v>461247220000</v>
      </c>
      <c r="C37" s="17" t="n">
        <v>-0.377100294154915</v>
      </c>
      <c r="D37" s="16" t="n">
        <v>-14779306218</v>
      </c>
      <c r="E37" s="16" t="n">
        <v>-13498271389</v>
      </c>
    </row>
    <row r="38">
      <c r="A38" s="15" t="n">
        <v>2</v>
      </c>
      <c r="B38" s="16" t="n">
        <v>514290650300</v>
      </c>
      <c r="C38" s="17" t="n">
        <v>-0.1885501470774575</v>
      </c>
      <c r="D38" s="16" t="n">
        <v>80490651321</v>
      </c>
      <c r="E38" s="16" t="n">
        <v>67141904777</v>
      </c>
    </row>
    <row r="39">
      <c r="A39" s="15" t="n">
        <v>3</v>
      </c>
      <c r="B39" s="16" t="n">
        <v>558005355576</v>
      </c>
      <c r="C39" s="17" t="n">
        <v>-0.1885501470774575</v>
      </c>
      <c r="D39" s="16" t="n">
        <v>87332356684</v>
      </c>
      <c r="E39" s="16" t="n">
        <v>66534592910</v>
      </c>
    </row>
    <row r="40">
      <c r="A40" s="15" t="n">
        <v>4</v>
      </c>
      <c r="B40" s="16" t="n">
        <v>588695650132</v>
      </c>
      <c r="C40" s="17" t="n">
        <v>-0.1885501470774575</v>
      </c>
      <c r="D40" s="16" t="n">
        <v>92135636301</v>
      </c>
      <c r="E40" s="16" t="n">
        <v>64109748282</v>
      </c>
    </row>
    <row r="41">
      <c r="A41" s="15" t="n">
        <v>5</v>
      </c>
      <c r="B41" s="16" t="n">
        <v>603413041385</v>
      </c>
      <c r="C41" s="17" t="n">
        <v>-0.1885501470774575</v>
      </c>
      <c r="D41" s="16" t="n">
        <v>94439027209</v>
      </c>
      <c r="E41" s="16" t="n">
        <v>60016690733</v>
      </c>
    </row>
    <row r="43">
      <c r="A43" s="5" t="inlineStr">
        <is>
          <t>Soma dos VPs dos FCFF projetados</t>
        </is>
      </c>
      <c r="B43" s="11">
        <f>SUM(E37:E41)</f>
        <v/>
      </c>
    </row>
    <row r="44">
      <c r="A44" s="5" t="inlineStr">
        <is>
          <t>Valor terminal (Gordon Growth)</t>
        </is>
      </c>
      <c r="B44" s="11" t="n">
        <v>1384763791005.727</v>
      </c>
    </row>
    <row r="45">
      <c r="A45" s="5" t="inlineStr">
        <is>
          <t>Valor presente do valor terminal</t>
        </is>
      </c>
      <c r="B45" s="11" t="n">
        <v>880027491165.5812</v>
      </c>
    </row>
    <row r="46">
      <c r="A46" s="12" t="inlineStr">
        <is>
          <t>Valor da empresa (Enterprise Value)</t>
        </is>
      </c>
      <c r="B46" s="18">
        <f>B43+B45</f>
        <v/>
      </c>
    </row>
    <row r="47">
      <c r="A47" s="5" t="inlineStr">
        <is>
          <t>(-) Dívida líquida</t>
        </is>
      </c>
      <c r="B47" s="11" t="n">
        <v>15839000000</v>
      </c>
    </row>
    <row r="48">
      <c r="A48" s="12" t="inlineStr">
        <is>
          <t>Valor do equity</t>
        </is>
      </c>
      <c r="B48" s="18">
        <f>B46-B47</f>
        <v/>
      </c>
    </row>
    <row r="49">
      <c r="A49" s="5" t="inlineStr">
        <is>
          <t>Ações em circulação</t>
        </is>
      </c>
      <c r="B49" s="19" t="n">
        <v>5867155790</v>
      </c>
    </row>
    <row r="50">
      <c r="A50" s="12" t="inlineStr">
        <is>
          <t>Preço-alvo por ação (=Valor do equity / Ações)</t>
        </is>
      </c>
      <c r="B50" s="20">
        <f>B48/B49</f>
        <v/>
      </c>
    </row>
    <row r="52">
      <c r="A52" s="3" t="inlineStr">
        <is>
          <t>NOTAS</t>
        </is>
      </c>
      <c r="B52" s="4" t="n"/>
      <c r="C52" s="4" t="n"/>
      <c r="D52" s="4" t="n"/>
      <c r="E52" s="4" t="n"/>
      <c r="F52" s="4" t="n"/>
      <c r="G52" s="4" t="n"/>
    </row>
    <row r="53">
      <c r="A53" s="21" t="inlineStr">
        <is>
          <t>• Fonte dos dados: pipeline próprio (yfinance -&gt; SQLite via src/data_fetch.py). Cálculo do DCF: src/dcf.py (versionado no Git).</t>
        </is>
      </c>
    </row>
    <row r="54">
      <c r="A54" s="21" t="inlineStr">
        <is>
          <t>• CapEx: parte da guidance pública de investimento (quando disponível) e normaliza rápido (config.ANOS_FADE_CAPEX=2 anos) para a média histórica — reflete o pico atual de investimento em IA sem assumir uma trajetória de longo prazo que não temos base para prever.</t>
        </is>
      </c>
    </row>
    <row r="55">
      <c r="A55" s="21" t="inlineStr">
        <is>
          <t>• Limitação conhecida: DCF simples de horizonte curto tende a subestimar mega caps de crescimento (não captura opcionalidade/crescimento além do período explícito). Ver comps_analysis.xlsx para cross-check via múltiplos de mercado.</t>
        </is>
      </c>
    </row>
  </sheetData>
  <mergeCells count="10">
    <mergeCell ref="A1:G1"/>
    <mergeCell ref="A53:G53"/>
    <mergeCell ref="A55:G55"/>
    <mergeCell ref="A35:G35"/>
    <mergeCell ref="A4:G4"/>
    <mergeCell ref="A24:G24"/>
    <mergeCell ref="A2:G2"/>
    <mergeCell ref="A54:G54"/>
    <mergeCell ref="A52:G52"/>
    <mergeCell ref="A11:G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2026-07-03T20:00:37Z</dcterms:created>
  <dcterms:modified xmlns:dcterms="http://purl.org/dc/terms/" xmlns:xsi="http://www.w3.org/2001/XMLSchema-instance" xsi:type="dcterms:W3CDTF">2026-07-03T20:00:37Z</dcterms:modified>
</cp:coreProperties>
</file>