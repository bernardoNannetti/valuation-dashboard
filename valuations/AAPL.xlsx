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Apple Inc. (AAPL) — DCF VALUATION</t>
        </is>
      </c>
    </row>
    <row r="2">
      <c r="A2" s="2" t="inlineStr">
        <is>
          <t>Technology / Consumer Electronics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308.6300048828125</v>
      </c>
    </row>
    <row r="6">
      <c r="A6" s="5" t="inlineStr">
        <is>
          <t>Preço-alvo (DCF)</t>
        </is>
      </c>
      <c r="B6" s="6" t="n">
        <v>111.5422166991194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1.086</v>
      </c>
    </row>
    <row r="13">
      <c r="A13" s="5" t="inlineStr">
        <is>
          <t>Taxa livre de risco (Treasury 10Y)</t>
        </is>
      </c>
      <c r="B13" s="10" t="n">
        <v>0.0449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0.0908378</v>
      </c>
    </row>
    <row r="16">
      <c r="A16" s="5" t="inlineStr">
        <is>
          <t>Dívida total</t>
        </is>
      </c>
      <c r="B16" s="11" t="n">
        <v>98657000000</v>
      </c>
    </row>
    <row r="17">
      <c r="A17" s="5" t="inlineStr">
        <is>
          <t>Custo da dívida pré-imposto (Desp. Juros / Dívida)</t>
        </is>
      </c>
      <c r="B17" s="10" t="n">
        <v>0.03986539221748077</v>
      </c>
    </row>
    <row r="18">
      <c r="A18" s="5" t="inlineStr">
        <is>
          <t>Taxa de imposto efetiva</t>
        </is>
      </c>
      <c r="B18" s="7" t="n">
        <v>0.1985059374988801</v>
      </c>
    </row>
    <row r="19">
      <c r="A19" s="5" t="inlineStr">
        <is>
          <t>Custo da dívida pós-imposto</t>
        </is>
      </c>
      <c r="B19" s="10" t="n">
        <v>0.03195187516158919</v>
      </c>
    </row>
    <row r="20">
      <c r="A20" s="5" t="inlineStr">
        <is>
          <t>Valor de mercado do equity</t>
        </is>
      </c>
      <c r="B20" s="11" t="n">
        <v>4532958920704</v>
      </c>
    </row>
    <row r="21">
      <c r="A21" s="5" t="inlineStr">
        <is>
          <t>Peso equity / Peso dívida</t>
        </is>
      </c>
      <c r="B21" t="inlineStr">
        <is>
          <t>97.9% / 2.1%</t>
        </is>
      </c>
    </row>
    <row r="22">
      <c r="A22" s="12" t="inlineStr">
        <is>
          <t>WACC</t>
        </is>
      </c>
      <c r="B22" s="13" t="n">
        <v>0.0895834842738592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416161000000</v>
      </c>
    </row>
    <row r="27">
      <c r="A27" s="5" t="inlineStr">
        <is>
          <t>↳ período fiscal do documento (10-K/10-Q)</t>
        </is>
      </c>
      <c r="B27" t="inlineStr">
        <is>
          <t>2025-09-30</t>
        </is>
      </c>
    </row>
    <row r="28">
      <c r="A28" s="5" t="inlineStr">
        <is>
          <t>↳ dados buscados do yfinance em</t>
        </is>
      </c>
      <c r="B28" t="inlineStr">
        <is>
          <t>2026-07-03</t>
        </is>
      </c>
    </row>
    <row r="29">
      <c r="A29" s="5" t="inlineStr">
        <is>
          <t>Crescimento de receita — ano 1 (consenso)</t>
        </is>
      </c>
      <c r="B29" s="7" t="n">
        <v>0.075</v>
      </c>
    </row>
    <row r="30">
      <c r="A30" s="5" t="inlineStr">
        <is>
          <t>Crescimento na perpetuidade (Gordon Growth)</t>
        </is>
      </c>
      <c r="B30" s="7" t="n">
        <v>0.025</v>
      </c>
    </row>
    <row r="31">
      <c r="A31" s="5" t="inlineStr">
        <is>
          <t>Margem EBIT (média histórica)</t>
        </is>
      </c>
      <c r="B31" s="7" t="n">
        <v>0.3174051131633372</v>
      </c>
    </row>
    <row r="32">
      <c r="A32" s="5" t="inlineStr">
        <is>
          <t>D&amp;A (% da receita, média histórica)</t>
        </is>
      </c>
      <c r="B32" s="7" t="n">
        <v>0.02868889663320831</v>
      </c>
    </row>
    <row r="33">
      <c r="A33" s="5" t="inlineStr">
        <is>
          <t>CapEx ano 1 (guidance pública / histórico)</t>
        </is>
      </c>
      <c r="B33" s="7" t="n">
        <v>-0.03364082650704896</v>
      </c>
    </row>
    <row r="34">
      <c r="A34" s="5" t="inlineStr">
        <is>
          <t>CapEx normalizado (média histórica)</t>
        </is>
      </c>
      <c r="B34" s="7" t="n">
        <v>-0.02735602098481622</v>
      </c>
    </row>
    <row r="35">
      <c r="A35" s="5" t="inlineStr">
        <is>
          <t>Variação de capital de giro (% da receita)</t>
        </is>
      </c>
      <c r="B35" s="7" t="n">
        <v>-0.02536807217015623</v>
      </c>
    </row>
    <row r="37">
      <c r="A37" s="3" t="inlineStr">
        <is>
          <t>PROJEÇÃO DE FLUXO DE CAIXA (FCFF)</t>
        </is>
      </c>
      <c r="B37" s="4" t="n"/>
      <c r="C37" s="4" t="n"/>
      <c r="D37" s="4" t="n"/>
      <c r="E37" s="4" t="n"/>
      <c r="F37" s="4" t="n"/>
      <c r="G37" s="4" t="n"/>
    </row>
    <row r="38">
      <c r="A38" s="14" t="inlineStr">
        <is>
          <t>Ano</t>
        </is>
      </c>
      <c r="B38" s="14" t="inlineStr">
        <is>
          <t>Receita</t>
        </is>
      </c>
      <c r="C38" s="14" t="inlineStr">
        <is>
          <t>CapEx (% receita)</t>
        </is>
      </c>
      <c r="D38" s="14" t="inlineStr">
        <is>
          <t>FCFF</t>
        </is>
      </c>
      <c r="E38" s="14" t="inlineStr">
        <is>
          <t>Valor Presente do FCFF</t>
        </is>
      </c>
    </row>
    <row r="39">
      <c r="A39" s="15" t="n">
        <v>1</v>
      </c>
      <c r="B39" s="16" t="n">
        <v>447373075000</v>
      </c>
      <c r="C39" s="17" t="n">
        <v>-0.03364082650704896</v>
      </c>
      <c r="D39" s="16" t="n">
        <v>100246603285</v>
      </c>
      <c r="E39" s="16" t="n">
        <v>92004517994</v>
      </c>
    </row>
    <row r="40">
      <c r="A40" s="15" t="n">
        <v>2</v>
      </c>
      <c r="B40" s="16" t="n">
        <v>475333892188</v>
      </c>
      <c r="C40" s="17" t="n">
        <v>-0.02735602098481622</v>
      </c>
      <c r="D40" s="16" t="n">
        <v>109499397061</v>
      </c>
      <c r="E40" s="16" t="n">
        <v>92233928004</v>
      </c>
    </row>
    <row r="41">
      <c r="A41" s="15" t="n">
        <v>3</v>
      </c>
      <c r="B41" s="16" t="n">
        <v>499100586797</v>
      </c>
      <c r="C41" s="17" t="n">
        <v>-0.02735602098481622</v>
      </c>
      <c r="D41" s="16" t="n">
        <v>114974366914</v>
      </c>
      <c r="E41" s="16" t="n">
        <v>88883161136</v>
      </c>
    </row>
    <row r="42">
      <c r="A42" s="15" t="n">
        <v>4</v>
      </c>
      <c r="B42" s="16" t="n">
        <v>517816858802</v>
      </c>
      <c r="C42" s="17" t="n">
        <v>-0.02735602098481622</v>
      </c>
      <c r="D42" s="16" t="n">
        <v>119285905673</v>
      </c>
      <c r="E42" s="16" t="n">
        <v>84634432340</v>
      </c>
    </row>
    <row r="43">
      <c r="A43" s="15" t="n">
        <v>5</v>
      </c>
      <c r="B43" s="16" t="n">
        <v>530762280272</v>
      </c>
      <c r="C43" s="17" t="n">
        <v>-0.02735602098481622</v>
      </c>
      <c r="D43" s="16" t="n">
        <v>122268053315</v>
      </c>
      <c r="E43" s="16" t="n">
        <v>79617848839</v>
      </c>
    </row>
    <row r="45">
      <c r="A45" s="5" t="inlineStr">
        <is>
          <t>Soma dos VPs dos FCFF projetados</t>
        </is>
      </c>
      <c r="B45" s="11">
        <f>SUM(E39:E43)</f>
        <v/>
      </c>
    </row>
    <row r="46">
      <c r="A46" s="5" t="inlineStr">
        <is>
          <t>Valor terminal (Gordon Growth)</t>
        </is>
      </c>
      <c r="B46" s="11" t="n">
        <v>1940507794788.78</v>
      </c>
    </row>
    <row r="47">
      <c r="A47" s="5" t="inlineStr">
        <is>
          <t>Valor presente do valor terminal</t>
        </is>
      </c>
      <c r="B47" s="11" t="n">
        <v>1263609357375.074</v>
      </c>
    </row>
    <row r="48">
      <c r="A48" s="12" t="inlineStr">
        <is>
          <t>Valor da empresa (Enterprise Value)</t>
        </is>
      </c>
      <c r="B48" s="18">
        <f>B45+B47</f>
        <v/>
      </c>
    </row>
    <row r="49">
      <c r="A49" s="5" t="inlineStr">
        <is>
          <t>(-) Dívida líquida</t>
        </is>
      </c>
      <c r="B49" s="11" t="n">
        <v>62723000000</v>
      </c>
    </row>
    <row r="50">
      <c r="A50" s="12" t="inlineStr">
        <is>
          <t>Valor do equity</t>
        </is>
      </c>
      <c r="B50" s="18">
        <f>B48-B49</f>
        <v/>
      </c>
    </row>
    <row r="51">
      <c r="A51" s="5" t="inlineStr">
        <is>
          <t>Ações em circulação</t>
        </is>
      </c>
      <c r="B51" s="19" t="n">
        <v>14687356000</v>
      </c>
    </row>
    <row r="52">
      <c r="A52" s="12" t="inlineStr">
        <is>
          <t>Preço-alvo por ação (=Valor do equity / Ações)</t>
        </is>
      </c>
      <c r="B52" s="20">
        <f>B50/B51</f>
        <v/>
      </c>
    </row>
    <row r="54">
      <c r="A54" s="3" t="inlineStr">
        <is>
          <t>NOTAS</t>
        </is>
      </c>
      <c r="B54" s="4" t="n"/>
      <c r="C54" s="4" t="n"/>
      <c r="D54" s="4" t="n"/>
      <c r="E54" s="4" t="n"/>
      <c r="F54" s="4" t="n"/>
      <c r="G54" s="4" t="n"/>
    </row>
    <row r="55">
      <c r="A55" s="21" t="inlineStr">
        <is>
          <t>• Fonte dos dados: pipeline próprio (yfinance -&gt; SQLite via src/data_fetch.py). Cálculo do DCF: src/dcf.py (versionado no Git).</t>
        </is>
      </c>
    </row>
    <row r="56">
      <c r="A56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7">
      <c r="A57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6:G56"/>
    <mergeCell ref="A55:G55"/>
    <mergeCell ref="A4:G4"/>
    <mergeCell ref="A24:G24"/>
    <mergeCell ref="A2:G2"/>
    <mergeCell ref="A54:G54"/>
    <mergeCell ref="A57:G57"/>
    <mergeCell ref="A11:G11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2026-07-04T15:32:48Z</dcterms:created>
  <dcterms:modified xmlns:dcterms="http://purl.org/dc/terms/" xmlns:xsi="http://www.w3.org/2001/XMLSchema-instance" xsi:type="dcterms:W3CDTF">2026-07-04T15:32:48Z</dcterms:modified>
</cp:coreProperties>
</file>